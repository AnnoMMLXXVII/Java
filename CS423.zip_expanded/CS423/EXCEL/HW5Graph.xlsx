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ividivicihofneondeion010101/School/Fall2019/CS423/"/>
    </mc:Choice>
  </mc:AlternateContent>
  <xr:revisionPtr revIDLastSave="0" documentId="13_ncr:1_{9718907C-B0B5-2547-BCAD-75F5E6D52D51}" xr6:coauthVersionLast="45" xr6:coauthVersionMax="45" xr10:uidLastSave="{00000000-0000-0000-0000-000000000000}"/>
  <bookViews>
    <workbookView xWindow="720" yWindow="460" windowWidth="23000" windowHeight="15240" xr2:uid="{B628AB06-B823-854E-89BF-52D641E7C0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B3" i="1"/>
  <c r="B4" i="1"/>
  <c r="B5" i="1"/>
  <c r="B6" i="1"/>
  <c r="B7" i="1"/>
  <c r="B8" i="1"/>
  <c r="B9" i="1"/>
  <c r="B2" i="1"/>
</calcChain>
</file>

<file path=xl/sharedStrings.xml><?xml version="1.0" encoding="utf-8"?>
<sst xmlns="http://schemas.openxmlformats.org/spreadsheetml/2006/main" count="5" uniqueCount="5">
  <si>
    <t>Input (N)</t>
  </si>
  <si>
    <t>Merge</t>
  </si>
  <si>
    <t>Shell</t>
  </si>
  <si>
    <t>O (N*Log(N))</t>
  </si>
  <si>
    <t>O ( N^2)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</si>
</sst>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E+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279307692170391E-2"/>
          <c:y val="3.2390672784647238E-2"/>
          <c:w val="0.84219468947985032"/>
          <c:h val="0.84045147543340204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Merge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0"/>
                </a:schemeClr>
              </a:glow>
            </a:effectLst>
          </c:spPr>
          <c:marker>
            <c:symbol val="none"/>
          </c:marker>
          <c:cat>
            <c:numRef>
              <c:f>Sheet1!$B$2:$B$9</c:f>
              <c:numCache>
                <c:formatCode>0.00E+00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cat>
          <c:val>
            <c:numRef>
              <c:f>Sheet1!$C$2:$C$9</c:f>
              <c:numCache>
                <c:formatCode>0.000E+00</c:formatCode>
                <c:ptCount val="8"/>
                <c:pt idx="0">
                  <c:v>11594</c:v>
                </c:pt>
                <c:pt idx="1">
                  <c:v>203598</c:v>
                </c:pt>
                <c:pt idx="2">
                  <c:v>484168</c:v>
                </c:pt>
                <c:pt idx="3">
                  <c:v>3722122</c:v>
                </c:pt>
                <c:pt idx="4">
                  <c:v>27958648</c:v>
                </c:pt>
                <c:pt idx="5">
                  <c:v>219646073</c:v>
                </c:pt>
                <c:pt idx="6">
                  <c:v>2158235121</c:v>
                </c:pt>
                <c:pt idx="7">
                  <c:v>2960917260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9-A94E-A9FF-6F5DF23F8020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Shell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0"/>
                </a:schemeClr>
              </a:glow>
            </a:effectLst>
          </c:spPr>
          <c:marker>
            <c:symbol val="none"/>
          </c:marker>
          <c:cat>
            <c:numRef>
              <c:f>Sheet1!$B$2:$B$9</c:f>
              <c:numCache>
                <c:formatCode>0.00E+00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cat>
          <c:val>
            <c:numRef>
              <c:f>Sheet1!$D$2:$D$9</c:f>
              <c:numCache>
                <c:formatCode>0.000E+00</c:formatCode>
                <c:ptCount val="8"/>
                <c:pt idx="0">
                  <c:v>1665</c:v>
                </c:pt>
                <c:pt idx="1">
                  <c:v>31566</c:v>
                </c:pt>
                <c:pt idx="2">
                  <c:v>414177</c:v>
                </c:pt>
                <c:pt idx="3">
                  <c:v>1657699</c:v>
                </c:pt>
                <c:pt idx="4">
                  <c:v>10962746</c:v>
                </c:pt>
                <c:pt idx="5">
                  <c:v>111744478</c:v>
                </c:pt>
                <c:pt idx="6">
                  <c:v>1288631018</c:v>
                </c:pt>
                <c:pt idx="7">
                  <c:v>2946007865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9-A94E-A9FF-6F5DF23F8020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O (N*Log(N))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0"/>
                </a:schemeClr>
              </a:glow>
            </a:effectLst>
          </c:spPr>
          <c:marker>
            <c:symbol val="none"/>
          </c:marker>
          <c:cat>
            <c:numRef>
              <c:f>Sheet1!$B$2:$B$9</c:f>
              <c:numCache>
                <c:formatCode>0.00E+00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cat>
          <c:val>
            <c:numRef>
              <c:f>Sheet1!$E$2:$E$9</c:f>
              <c:numCache>
                <c:formatCode>0.000E+00</c:formatCode>
                <c:ptCount val="8"/>
                <c:pt idx="0">
                  <c:v>156531.6463905627</c:v>
                </c:pt>
                <c:pt idx="1">
                  <c:v>3590524.8119671643</c:v>
                </c:pt>
                <c:pt idx="2">
                  <c:v>9143584.436227737</c:v>
                </c:pt>
                <c:pt idx="3">
                  <c:v>81245339.721780241</c:v>
                </c:pt>
                <c:pt idx="4">
                  <c:v>691607239.54425812</c:v>
                </c:pt>
                <c:pt idx="5">
                  <c:v>6086525670.8742886</c:v>
                </c:pt>
                <c:pt idx="6">
                  <c:v>66920838611.642334</c:v>
                </c:pt>
                <c:pt idx="7">
                  <c:v>93160515325.343842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9-A94E-A9FF-6F5DF23F8020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O ( N^2)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0"/>
                </a:schemeClr>
              </a:glow>
            </a:effectLst>
          </c:spPr>
          <c:marker>
            <c:symbol val="none"/>
          </c:marker>
          <c:cat>
            <c:numRef>
              <c:f>Sheet1!$B$2:$B$9</c:f>
              <c:numCache>
                <c:formatCode>0.00E+00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cat>
          <c:val>
            <c:numRef>
              <c:f>Sheet1!$F$2:$F$9</c:f>
              <c:numCache>
                <c:formatCode>0.000E+00</c:formatCode>
                <c:ptCount val="8"/>
                <c:pt idx="0">
                  <c:v>2772225</c:v>
                </c:pt>
                <c:pt idx="1">
                  <c:v>996412356</c:v>
                </c:pt>
                <c:pt idx="2">
                  <c:v>171542587329</c:v>
                </c:pt>
                <c:pt idx="3">
                  <c:v>2747965974601</c:v>
                </c:pt>
                <c:pt idx="4">
                  <c:v>120181799860516</c:v>
                </c:pt>
                <c:pt idx="5">
                  <c:v>1.2486828363492484E+16</c:v>
                </c:pt>
                <c:pt idx="6">
                  <c:v>1.6605699005517164E+18</c:v>
                </c:pt>
                <c:pt idx="7">
                  <c:v>8.6789623406418586E+18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39-A94E-A9FF-6F5DF23F8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rgbClr val="0070C0">
                  <a:alpha val="0"/>
                </a:srgbClr>
              </a:solidFill>
              <a:round/>
            </a:ln>
            <a:effectLst/>
          </c:spPr>
        </c:dropLines>
        <c:smooth val="0"/>
        <c:axId val="1483546431"/>
        <c:axId val="1389483071"/>
      </c:lineChart>
      <c:catAx>
        <c:axId val="1483546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483071"/>
        <c:crosses val="autoZero"/>
        <c:auto val="1"/>
        <c:lblAlgn val="ctr"/>
        <c:lblOffset val="100"/>
        <c:noMultiLvlLbl val="0"/>
      </c:catAx>
      <c:valAx>
        <c:axId val="13894830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4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895154</xdr:colOff>
      <xdr:row>11</xdr:row>
      <xdr:rowOff>62871</xdr:rowOff>
    </xdr:from>
    <xdr:to>
      <xdr:col>10</xdr:col>
      <xdr:colOff>50297</xdr:colOff>
      <xdr:row>32</xdr:row>
      <xdr:rowOff>150890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1106B9-B335-7A44-B665-5378CE114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82-A814-9A48-87C1-D892C7BAFE70}">
  <dimension ref="A1:F9"/>
  <sheetViews>
    <sheetView tabSelected="1" topLeftCell="B6" zoomScale="101" workbookViewId="0">
      <selection activeCell="K18" sqref="K18"/>
    </sheetView>
  </sheetViews>
  <sheetFormatPr baseColWidth="10" defaultRowHeight="16" x14ac:dyDescent="0.2"/>
  <cols>
    <col min="1" max="1" width="2.1640625" customWidth="1"/>
    <col min="2" max="2" width="18" customWidth="1"/>
    <col min="3" max="3" width="17.6640625" customWidth="1"/>
    <col min="4" max="4" width="17.33203125" customWidth="1"/>
    <col min="5" max="5" width="17.83203125" customWidth="1"/>
    <col min="6" max="6" width="17.6640625" customWidth="1"/>
  </cols>
  <sheetData>
    <row r="1" spans="1:6" x14ac:dyDescent="0.2">
      <c r="A1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 s="1">
        <f>POWER(10,$A2)</f>
        <v>10</v>
      </c>
      <c r="C2" s="2">
        <v>11594</v>
      </c>
      <c r="D2" s="2">
        <v>1665</v>
      </c>
      <c r="E2" s="2">
        <f>LOG($C2, 2)*$C2</f>
        <v>156531.6463905627</v>
      </c>
      <c r="F2" s="2">
        <f>POWER($D2, 2)</f>
        <v>2772225</v>
      </c>
    </row>
    <row r="3" spans="1:6" x14ac:dyDescent="0.2">
      <c r="A3">
        <v>2</v>
      </c>
      <c r="B3" s="1">
        <f t="shared" ref="B3:B9" si="0">POWER(10,$A3)</f>
        <v>100</v>
      </c>
      <c r="C3" s="2">
        <v>203598</v>
      </c>
      <c r="D3" s="2">
        <v>31566</v>
      </c>
      <c r="E3" s="2">
        <f t="shared" ref="E3:E9" si="1">LOG($C3, 2)*$C3</f>
        <v>3590524.8119671643</v>
      </c>
      <c r="F3" s="2">
        <f t="shared" ref="F3:F9" si="2">POWER($D3, 2)</f>
        <v>996412356</v>
      </c>
    </row>
    <row r="4" spans="1:6" x14ac:dyDescent="0.2">
      <c r="A4">
        <v>3</v>
      </c>
      <c r="B4" s="1">
        <f t="shared" si="0"/>
        <v>1000</v>
      </c>
      <c r="C4" s="2">
        <v>484168</v>
      </c>
      <c r="D4" s="2">
        <v>414177</v>
      </c>
      <c r="E4" s="2">
        <f t="shared" si="1"/>
        <v>9143584.436227737</v>
      </c>
      <c r="F4" s="2">
        <f t="shared" si="2"/>
        <v>171542587329</v>
      </c>
    </row>
    <row r="5" spans="1:6" x14ac:dyDescent="0.2">
      <c r="A5">
        <v>4</v>
      </c>
      <c r="B5" s="1">
        <f t="shared" si="0"/>
        <v>10000</v>
      </c>
      <c r="C5" s="2">
        <v>3722122</v>
      </c>
      <c r="D5" s="2">
        <v>1657699</v>
      </c>
      <c r="E5" s="2">
        <f t="shared" si="1"/>
        <v>81245339.721780241</v>
      </c>
      <c r="F5" s="2">
        <f t="shared" si="2"/>
        <v>2747965974601</v>
      </c>
    </row>
    <row r="6" spans="1:6" x14ac:dyDescent="0.2">
      <c r="A6">
        <v>5</v>
      </c>
      <c r="B6" s="1">
        <f t="shared" si="0"/>
        <v>100000</v>
      </c>
      <c r="C6" s="2">
        <v>27958648</v>
      </c>
      <c r="D6" s="2">
        <v>10962746</v>
      </c>
      <c r="E6" s="2">
        <f t="shared" si="1"/>
        <v>691607239.54425812</v>
      </c>
      <c r="F6" s="2">
        <f t="shared" si="2"/>
        <v>120181799860516</v>
      </c>
    </row>
    <row r="7" spans="1:6" x14ac:dyDescent="0.2">
      <c r="A7">
        <v>6</v>
      </c>
      <c r="B7" s="1">
        <f t="shared" si="0"/>
        <v>1000000</v>
      </c>
      <c r="C7" s="2">
        <v>219646073</v>
      </c>
      <c r="D7" s="2">
        <v>111744478</v>
      </c>
      <c r="E7" s="2">
        <f t="shared" si="1"/>
        <v>6086525670.8742886</v>
      </c>
      <c r="F7" s="2">
        <f t="shared" si="2"/>
        <v>1.2486828363492484E+16</v>
      </c>
    </row>
    <row r="8" spans="1:6" x14ac:dyDescent="0.2">
      <c r="A8">
        <v>7</v>
      </c>
      <c r="B8" s="1">
        <f t="shared" si="0"/>
        <v>10000000</v>
      </c>
      <c r="C8" s="2">
        <v>2158235121</v>
      </c>
      <c r="D8" s="2">
        <v>1288631018</v>
      </c>
      <c r="E8" s="2">
        <f t="shared" si="1"/>
        <v>66920838611.642334</v>
      </c>
      <c r="F8" s="2">
        <f t="shared" si="2"/>
        <v>1.6605699005517164E+18</v>
      </c>
    </row>
    <row r="9" spans="1:6" x14ac:dyDescent="0.2">
      <c r="A9">
        <v>8</v>
      </c>
      <c r="B9" s="1">
        <f t="shared" si="0"/>
        <v>100000000</v>
      </c>
      <c r="C9" s="2">
        <v>2960917260</v>
      </c>
      <c r="D9" s="2">
        <v>2946007865</v>
      </c>
      <c r="E9" s="2">
        <f t="shared" si="1"/>
        <v>93160515325.343842</v>
      </c>
      <c r="F9" s="2">
        <f t="shared" si="2"/>
        <v>8.6789623406418586E+18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Sz</dc:creator>
  <cp:lastModifiedBy>Lu Sz</cp:lastModifiedBy>
  <dcterms:created xsi:type="dcterms:W3CDTF">2019-11-12T22:56:46Z</dcterms:created>
  <dcterms:modified xsi:type="dcterms:W3CDTF">2019-11-13T02:21:05Z</dcterms:modified>
</cp:coreProperties>
</file>