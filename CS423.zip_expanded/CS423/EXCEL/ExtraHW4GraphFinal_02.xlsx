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venividivicihofneondeion010101/School/Fall2019/CS423/"/>
    </mc:Choice>
  </mc:AlternateContent>
  <xr:revisionPtr revIDLastSave="0" documentId="13_ncr:1_{726ED602-C272-5045-B75A-C46149A5B9F8}" xr6:coauthVersionLast="45" xr6:coauthVersionMax="45" xr10:uidLastSave="{00000000-0000-0000-0000-000000000000}"/>
  <bookViews>
    <workbookView xWindow="40" yWindow="460" windowWidth="25440" windowHeight="15000" xr2:uid="{003BF229-B6ED-3D46-9899-3365F3A69DA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A7" i="1" l="1"/>
  <c r="D7" i="1" s="1"/>
  <c r="A6" i="1"/>
  <c r="D6" i="1" s="1"/>
  <c r="A5" i="1"/>
  <c r="D5" i="1" s="1"/>
  <c r="A4" i="1"/>
  <c r="D4" i="1" s="1"/>
  <c r="A3" i="1"/>
  <c r="D3" i="1" s="1"/>
  <c r="A2" i="1"/>
  <c r="D2" i="1" s="1"/>
</calcChain>
</file>

<file path=xl/sharedStrings.xml><?xml version="1.0" encoding="utf-8"?>
<sst xmlns="http://schemas.openxmlformats.org/spreadsheetml/2006/main" count="4" uniqueCount="4">
  <si>
    <t xml:space="preserve">Input (N) </t>
  </si>
  <si>
    <t>Bin-Insert Time (ns)</t>
  </si>
  <si>
    <t>Insertion Sort Time (ns)</t>
  </si>
  <si>
    <t>Big-O O(n^2)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</si>
</sst>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0FFF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none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Binary Insertion</a:t>
            </a:r>
            <a:r>
              <a:rPr lang="en-US" baseline="0"/>
              <a:t> Sort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cap="none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574663894016215"/>
          <c:y val="5.7798353909465021E-2"/>
          <c:w val="0.80099058389214706"/>
          <c:h val="0.80244564336865298"/>
        </c:manualLayout>
      </c:layout>
      <c:lineChart>
        <c:grouping val="standard"/>
        <c:varyColors val="0"/>
        <c:ser>
          <c:idx val="0"/>
          <c:order val="0"/>
          <c:tx>
            <c:strRef>
              <c:f>Sheet1!$B$1</c:f>
              <c:strCache>
                <c:ptCount val="1"/>
                <c:pt idx="0">
                  <c:v>Bin-Insert Time (ns)</c:v>
                </c:pt>
              </c:strCache>
            </c:strRef>
          </c:tx>
          <c:spPr>
            <a:ln w="6350" cap="rnd">
              <a:solidFill>
                <a:srgbClr val="00FFF0"/>
              </a:solidFill>
            </a:ln>
            <a:effectLst>
              <a:glow rad="139700">
                <a:schemeClr val="accent1">
                  <a:satMod val="175000"/>
                  <a:alpha val="0"/>
                </a:schemeClr>
              </a:glow>
            </a:effectLst>
          </c:spPr>
          <c:marker>
            <c:symbol val="none"/>
          </c:marker>
          <c:cat>
            <c:numRef>
              <c:f>Sheet1!$A$2:$A$7</c:f>
              <c:numCache>
                <c:formatCode>General</c:formatCode>
                <c:ptCount val="6"/>
                <c:pt idx="0">
                  <c:v>10</c:v>
                </c:pt>
                <c:pt idx="1">
                  <c:v>100</c:v>
                </c:pt>
                <c:pt idx="2">
                  <c:v>1000</c:v>
                </c:pt>
                <c:pt idx="3">
                  <c:v>10000</c:v>
                </c:pt>
                <c:pt idx="4">
                  <c:v>100000</c:v>
                </c:pt>
                <c:pt idx="5">
                  <c:v>1000000</c:v>
                </c:pt>
              </c:numCache>
            </c:numRef>
          </c:cat>
          <c:val>
            <c:numRef>
              <c:f>Sheet1!$B$2:$B$7</c:f>
              <c:numCache>
                <c:formatCode>General</c:formatCode>
                <c:ptCount val="6"/>
                <c:pt idx="0">
                  <c:v>11464</c:v>
                </c:pt>
                <c:pt idx="1">
                  <c:v>106686</c:v>
                </c:pt>
                <c:pt idx="2">
                  <c:v>756196</c:v>
                </c:pt>
                <c:pt idx="3">
                  <c:v>7669995</c:v>
                </c:pt>
                <c:pt idx="4">
                  <c:v>339098928</c:v>
                </c:pt>
                <c:pt idx="5">
                  <c:v>483380508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C6C-B94C-B451-062CE60A4755}"/>
            </c:ext>
          </c:extLst>
        </c:ser>
        <c:ser>
          <c:idx val="1"/>
          <c:order val="1"/>
          <c:tx>
            <c:strRef>
              <c:f>Sheet1!$C$1</c:f>
              <c:strCache>
                <c:ptCount val="1"/>
                <c:pt idx="0">
                  <c:v>Insertion Sort Time (ns)</c:v>
                </c:pt>
              </c:strCache>
            </c:strRef>
          </c:tx>
          <c:spPr>
            <a:ln w="6350" cap="rnd">
              <a:solidFill>
                <a:srgbClr val="FFC000"/>
              </a:solidFill>
            </a:ln>
            <a:effectLst>
              <a:glow>
                <a:schemeClr val="accent2">
                  <a:satMod val="175000"/>
                  <a:alpha val="0"/>
                </a:schemeClr>
              </a:glow>
            </a:effectLst>
          </c:spPr>
          <c:marker>
            <c:symbol val="none"/>
          </c:marker>
          <c:cat>
            <c:numRef>
              <c:f>Sheet1!$A$2:$A$7</c:f>
              <c:numCache>
                <c:formatCode>General</c:formatCode>
                <c:ptCount val="6"/>
                <c:pt idx="0">
                  <c:v>10</c:v>
                </c:pt>
                <c:pt idx="1">
                  <c:v>100</c:v>
                </c:pt>
                <c:pt idx="2">
                  <c:v>1000</c:v>
                </c:pt>
                <c:pt idx="3">
                  <c:v>10000</c:v>
                </c:pt>
                <c:pt idx="4">
                  <c:v>100000</c:v>
                </c:pt>
                <c:pt idx="5">
                  <c:v>1000000</c:v>
                </c:pt>
              </c:numCache>
            </c:numRef>
          </c:cat>
          <c:val>
            <c:numRef>
              <c:f>Sheet1!$C$2:$C$7</c:f>
              <c:numCache>
                <c:formatCode>General</c:formatCode>
                <c:ptCount val="6"/>
                <c:pt idx="0">
                  <c:v>1730</c:v>
                </c:pt>
                <c:pt idx="1">
                  <c:v>100753</c:v>
                </c:pt>
                <c:pt idx="2">
                  <c:v>1549651</c:v>
                </c:pt>
                <c:pt idx="3">
                  <c:v>18291329</c:v>
                </c:pt>
                <c:pt idx="4">
                  <c:v>1437856770</c:v>
                </c:pt>
                <c:pt idx="5">
                  <c:v>19953710269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C6C-B94C-B451-062CE60A4755}"/>
            </c:ext>
          </c:extLst>
        </c:ser>
        <c:ser>
          <c:idx val="2"/>
          <c:order val="2"/>
          <c:tx>
            <c:strRef>
              <c:f>Sheet1!$D$1</c:f>
              <c:strCache>
                <c:ptCount val="1"/>
                <c:pt idx="0">
                  <c:v>Big-O O(n^2)</c:v>
                </c:pt>
              </c:strCache>
            </c:strRef>
          </c:tx>
          <c:spPr>
            <a:ln w="6350" cap="rnd">
              <a:solidFill>
                <a:srgbClr val="FFFF00"/>
              </a:solidFill>
            </a:ln>
            <a:effectLst>
              <a:glow rad="139700">
                <a:schemeClr val="accent3">
                  <a:satMod val="175000"/>
                  <a:alpha val="0"/>
                </a:schemeClr>
              </a:glow>
            </a:effectLst>
          </c:spPr>
          <c:marker>
            <c:symbol val="none"/>
          </c:marker>
          <c:dPt>
            <c:idx val="5"/>
            <c:marker>
              <c:symbol val="none"/>
            </c:marker>
            <c:bubble3D val="0"/>
            <c:spPr>
              <a:ln w="6350" cap="rnd">
                <a:solidFill>
                  <a:srgbClr val="FFFF00"/>
                </a:solidFill>
              </a:ln>
              <a:effectLst>
                <a:glow rad="139700">
                  <a:schemeClr val="accent3">
                    <a:satMod val="175000"/>
                    <a:alpha val="0"/>
                  </a:schemeClr>
                </a:glow>
                <a:outerShdw blurRad="50800" dist="50800" dir="5400000" algn="ctr" rotWithShape="0">
                  <a:srgbClr val="000000">
                    <a:alpha val="0"/>
                  </a:srgbClr>
                </a:outerShdw>
                <a:softEdge rad="0"/>
              </a:effectLst>
            </c:spPr>
            <c:extLst>
              <c:ext xmlns:c16="http://schemas.microsoft.com/office/drawing/2014/chart" uri="{C3380CC4-5D6E-409C-BE32-E72D297353CC}">
                <c16:uniqueId val="{00000003-5C6C-B94C-B451-062CE60A4755}"/>
              </c:ext>
            </c:extLst>
          </c:dPt>
          <c:cat>
            <c:numRef>
              <c:f>Sheet1!$A$2:$A$7</c:f>
              <c:numCache>
                <c:formatCode>General</c:formatCode>
                <c:ptCount val="6"/>
                <c:pt idx="0">
                  <c:v>10</c:v>
                </c:pt>
                <c:pt idx="1">
                  <c:v>100</c:v>
                </c:pt>
                <c:pt idx="2">
                  <c:v>1000</c:v>
                </c:pt>
                <c:pt idx="3">
                  <c:v>10000</c:v>
                </c:pt>
                <c:pt idx="4">
                  <c:v>100000</c:v>
                </c:pt>
                <c:pt idx="5">
                  <c:v>1000000</c:v>
                </c:pt>
              </c:numCache>
            </c:numRef>
          </c:cat>
          <c:val>
            <c:numRef>
              <c:f>Sheet1!$D$2:$D$7</c:f>
              <c:numCache>
                <c:formatCode>General</c:formatCode>
                <c:ptCount val="6"/>
                <c:pt idx="0">
                  <c:v>100</c:v>
                </c:pt>
                <c:pt idx="1">
                  <c:v>10000</c:v>
                </c:pt>
                <c:pt idx="2">
                  <c:v>1000000</c:v>
                </c:pt>
                <c:pt idx="3">
                  <c:v>100000000</c:v>
                </c:pt>
                <c:pt idx="4">
                  <c:v>10000000000</c:v>
                </c:pt>
                <c:pt idx="5" formatCode="0">
                  <c:v>1000000000000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C6C-B94C-B451-062CE60A475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627765103"/>
        <c:axId val="1672220879"/>
      </c:lineChart>
      <c:catAx>
        <c:axId val="16277651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72220879"/>
        <c:crosses val="autoZero"/>
        <c:auto val="1"/>
        <c:lblAlgn val="ctr"/>
        <c:lblOffset val="100"/>
        <c:noMultiLvlLbl val="0"/>
      </c:catAx>
      <c:valAx>
        <c:axId val="1672220879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 Complexity</a:t>
                </a:r>
                <a:r>
                  <a:rPr lang="en-US" baseline="0"/>
                  <a:t> O(n^2)</a:t>
                </a:r>
              </a:p>
            </c:rich>
          </c:tx>
          <c:layout>
            <c:manualLayout>
              <c:xMode val="edge"/>
              <c:yMode val="edge"/>
              <c:x val="4.529370134465676E-2"/>
              <c:y val="0.35537395204240246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27765103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>
            <a:solidFill>
              <a:schemeClr val="dk1">
                <a:lumMod val="50000"/>
                <a:lumOff val="50000"/>
              </a:schemeClr>
            </a:solidFill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36">
  <cs:axisTitle>
    <cs:lnRef idx="0"/>
    <cs:fillRef idx="0"/>
    <cs:effectRef idx="0"/>
    <cs:fontRef idx="minor">
      <a:schemeClr val="lt1">
        <a:lumMod val="75000"/>
      </a:schemeClr>
    </cs:fontRef>
    <cs:defRPr sz="900" b="1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15000"/>
        <a:lumOff val="85000"/>
      </a:schemeClr>
    </cs:fontRef>
    <cs:spPr>
      <a:solidFill>
        <a:schemeClr val="dk1">
          <a:lumMod val="65000"/>
          <a:lumOff val="3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2225" cap="rnd">
        <a:solidFill>
          <a:schemeClr val="phClr"/>
        </a:solidFill>
      </a:ln>
      <a:effectLst>
        <a:glow rad="139700">
          <a:schemeClr val="phClr">
            <a:satMod val="175000"/>
            <a:alpha val="14000"/>
          </a:schemeClr>
        </a:glow>
      </a:effectLst>
    </cs:spPr>
  </cs:dataPointLine>
  <cs:dataPointMarker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lumMod val="60000"/>
          <a:lumOff val="40000"/>
        </a:schemeClr>
      </a:solidFill>
      <a:effectLst>
        <a:glow rad="63500">
          <a:schemeClr val="phClr">
            <a:satMod val="175000"/>
            <a:alpha val="25000"/>
          </a:schemeClr>
        </a:glow>
      </a:effectLst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</a:schemeClr>
            </a:gs>
            <a:gs pos="0">
              <a:schemeClr val="dk1">
                <a:lumMod val="65000"/>
                <a:lumOff val="35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  <a:alpha val="25000"/>
              </a:schemeClr>
            </a:gs>
            <a:gs pos="0">
              <a:schemeClr val="dk1">
                <a:lumMod val="65000"/>
                <a:lumOff val="35000"/>
                <a:alpha val="25000"/>
              </a:schemeClr>
            </a:gs>
          </a:gsLst>
          <a:lin ang="5400000" scaled="0"/>
        </a:gra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1" kern="1200" cap="none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25400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575733</xdr:colOff>
      <xdr:row>0</xdr:row>
      <xdr:rowOff>101600</xdr:rowOff>
    </xdr:from>
    <xdr:to>
      <xdr:col>16</xdr:col>
      <xdr:colOff>711199</xdr:colOff>
      <xdr:row>30</xdr:row>
      <xdr:rowOff>152399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CA87775B-C37B-7C45-973A-F777B7226A5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6B40D2-F7EC-2D4C-BAAB-00C957A6ACDE}">
  <dimension ref="A1:D7"/>
  <sheetViews>
    <sheetView tabSelected="1" zoomScale="232" workbookViewId="0">
      <selection activeCell="B9" sqref="B9"/>
    </sheetView>
  </sheetViews>
  <sheetFormatPr baseColWidth="10" defaultRowHeight="16" x14ac:dyDescent="0.2"/>
  <cols>
    <col min="1" max="2" width="21.83203125" customWidth="1"/>
    <col min="3" max="3" width="21.33203125" customWidth="1"/>
    <col min="4" max="4" width="21.5" customWidth="1"/>
  </cols>
  <sheetData>
    <row r="1" spans="1:4" x14ac:dyDescent="0.2">
      <c r="A1" t="s">
        <v>0</v>
      </c>
      <c r="B1" t="s">
        <v>1</v>
      </c>
      <c r="C1" t="s">
        <v>2</v>
      </c>
      <c r="D1" t="s">
        <v>3</v>
      </c>
    </row>
    <row r="2" spans="1:4" x14ac:dyDescent="0.2">
      <c r="A2">
        <f>POWER(10,1)</f>
        <v>10</v>
      </c>
      <c r="B2">
        <v>11464</v>
      </c>
      <c r="C2">
        <v>1730</v>
      </c>
      <c r="D2">
        <f>POWER($A2, 2)</f>
        <v>100</v>
      </c>
    </row>
    <row r="3" spans="1:4" x14ac:dyDescent="0.2">
      <c r="A3">
        <f>POWER(10,2)</f>
        <v>100</v>
      </c>
      <c r="B3">
        <v>106686</v>
      </c>
      <c r="C3">
        <v>100753</v>
      </c>
      <c r="D3">
        <f t="shared" ref="D3:D7" si="0">POWER($A3, 2)</f>
        <v>10000</v>
      </c>
    </row>
    <row r="4" spans="1:4" x14ac:dyDescent="0.2">
      <c r="A4">
        <f>POWER(10,3)</f>
        <v>1000</v>
      </c>
      <c r="B4">
        <v>756196</v>
      </c>
      <c r="C4">
        <v>1549651</v>
      </c>
      <c r="D4">
        <f t="shared" si="0"/>
        <v>1000000</v>
      </c>
    </row>
    <row r="5" spans="1:4" x14ac:dyDescent="0.2">
      <c r="A5">
        <f>POWER(10,4)</f>
        <v>10000</v>
      </c>
      <c r="B5">
        <v>7669995</v>
      </c>
      <c r="C5">
        <v>18291329</v>
      </c>
      <c r="D5">
        <f t="shared" si="0"/>
        <v>100000000</v>
      </c>
    </row>
    <row r="6" spans="1:4" x14ac:dyDescent="0.2">
      <c r="A6">
        <f>POWER(10,5)</f>
        <v>100000</v>
      </c>
      <c r="B6">
        <v>339098928</v>
      </c>
      <c r="C6">
        <v>1437856770</v>
      </c>
      <c r="D6">
        <f t="shared" si="0"/>
        <v>10000000000</v>
      </c>
    </row>
    <row r="7" spans="1:4" x14ac:dyDescent="0.2">
      <c r="A7">
        <f>POWER(10,6)</f>
        <v>1000000</v>
      </c>
      <c r="B7">
        <v>483380508</v>
      </c>
      <c r="C7">
        <v>19953710269</v>
      </c>
      <c r="D7" s="1">
        <f t="shared" si="0"/>
        <v>1000000000000</v>
      </c>
    </row>
  </sheetData>
  <pageMargins left="0.7" right="0.7" top="0.75" bottom="0.75" header="0.3" footer="0.3"/>
  <pageSetup orientation="portrait" horizontalDpi="0" verticalDpi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 Sz</dc:creator>
  <cp:lastModifiedBy>Lu Sz</cp:lastModifiedBy>
  <dcterms:created xsi:type="dcterms:W3CDTF">2019-11-02T06:41:53Z</dcterms:created>
  <dcterms:modified xsi:type="dcterms:W3CDTF">2019-11-04T13:40:26Z</dcterms:modified>
</cp:coreProperties>
</file>