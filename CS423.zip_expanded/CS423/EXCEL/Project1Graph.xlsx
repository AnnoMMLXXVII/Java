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nividivicihofneondeion010101/School/Fall2019/CS423/"/>
    </mc:Choice>
  </mc:AlternateContent>
  <xr:revisionPtr revIDLastSave="0" documentId="13_ncr:1_{85203C39-B32A-3140-842E-4CDB85C3D1C0}" xr6:coauthVersionLast="45" xr6:coauthVersionMax="45" xr10:uidLastSave="{00000000-0000-0000-0000-000000000000}"/>
  <bookViews>
    <workbookView xWindow="0" yWindow="460" windowWidth="25600" windowHeight="15540" xr2:uid="{09953E18-6E8B-DA41-B00A-51BE40C3F4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3" i="1"/>
  <c r="C2" i="1"/>
  <c r="B3" i="1"/>
  <c r="B4" i="1"/>
  <c r="B5" i="1"/>
  <c r="B6" i="1"/>
  <c r="B7" i="1"/>
  <c r="B8" i="1"/>
  <c r="B9" i="1"/>
  <c r="B2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<sst xmlns="http://schemas.openxmlformats.org/spreadsheetml/2006/main" count="4" uniqueCount="4">
  <si>
    <t>log(N)</t>
  </si>
  <si>
    <t>Input N</t>
  </si>
  <si>
    <t>Time (ns)</t>
  </si>
  <si>
    <t>Time (plain)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</si>
</sst>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2"/>
      <color theme="1"/>
      <name val="Calibri"/>
      <family val="2"/>
      <scheme val="minor"/>
    </font>
    <font>
      <sz val="12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Log(N)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Sheet1!$A$2:$A$9</c:f>
              <c:numCache>
                <c:formatCode>General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3.3219280948873626</c:v>
                </c:pt>
                <c:pt idx="1">
                  <c:v>6.6438561897747253</c:v>
                </c:pt>
                <c:pt idx="2">
                  <c:v>9.965784284662087</c:v>
                </c:pt>
                <c:pt idx="3">
                  <c:v>13.287712379549451</c:v>
                </c:pt>
                <c:pt idx="4">
                  <c:v>16.609640474436812</c:v>
                </c:pt>
                <c:pt idx="5">
                  <c:v>19.931568569324174</c:v>
                </c:pt>
                <c:pt idx="6">
                  <c:v>23.253496664211539</c:v>
                </c:pt>
                <c:pt idx="7">
                  <c:v>26.575424759098901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7F-FC44-94DE-5C8D4D718AE0}"/>
            </c:ext>
          </c:extLst>
        </c:ser>
        <c:ser>
          <c:idx val="1"/>
          <c:order val="1"/>
          <c:tx>
            <c:v>Time (ns)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Sheet1!$A$2:$A$9</c:f>
              <c:numCache>
                <c:formatCode>General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cat>
          <c:val>
            <c:numRef>
              <c:f>Sheet1!$C$2:$C$9</c:f>
              <c:numCache>
                <c:formatCode>0.000</c:formatCode>
                <c:ptCount val="8"/>
                <c:pt idx="0" formatCode="General">
                  <c:v>3.2680000000000002</c:v>
                </c:pt>
                <c:pt idx="1">
                  <c:v>7.33</c:v>
                </c:pt>
                <c:pt idx="2">
                  <c:v>8.1219999999999999</c:v>
                </c:pt>
                <c:pt idx="3">
                  <c:v>9.4510000000000005</c:v>
                </c:pt>
                <c:pt idx="4">
                  <c:v>14.362</c:v>
                </c:pt>
                <c:pt idx="5">
                  <c:v>19.54</c:v>
                </c:pt>
                <c:pt idx="6">
                  <c:v>25.618000000000002</c:v>
                </c:pt>
                <c:pt idx="7">
                  <c:v>36.892000000000003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7F-FC44-94DE-5C8D4D718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1533593808"/>
        <c:axId val="1594395104"/>
      </c:lineChart>
      <c:catAx>
        <c:axId val="1533593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</a:t>
                </a:r>
                <a:r>
                  <a:rPr lang="en-US" baseline="0"/>
                  <a:t>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395104"/>
        <c:crosses val="autoZero"/>
        <c:auto val="1"/>
        <c:lblAlgn val="ctr"/>
        <c:lblOffset val="100"/>
        <c:noMultiLvlLbl val="0"/>
      </c:catAx>
      <c:valAx>
        <c:axId val="159439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Complexity</a:t>
                </a:r>
                <a:r>
                  <a:rPr lang="en-US" baseline="0"/>
                  <a:t> - </a:t>
                </a:r>
                <a:r>
                  <a:rPr lang="en-US"/>
                  <a:t>Log(N)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593808"/>
        <c:crosses val="autoZero"/>
        <c:crossBetween val="between"/>
      </c:valAx>
      <c:spPr>
        <a:noFill/>
        <a:ln>
          <a:solidFill>
            <a:schemeClr val="accent1"/>
          </a:solidFill>
          <a:prstDash val="solid"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44450</xdr:colOff>
      <xdr:row>0</xdr:row>
      <xdr:rowOff>63500</xdr:rowOff>
    </xdr:from>
    <xdr:to>
      <xdr:col>16</xdr:col>
      <xdr:colOff>0</xdr:colOff>
      <xdr:row>27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49324E-5BE0-1443-93A1-F3FBE947C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811A-6058-0A4A-B7DA-2F45BAA5EBFB}">
  <dimension ref="A1:D9"/>
  <sheetViews>
    <sheetView tabSelected="1" workbookViewId="0">
      <selection activeCell="A2" sqref="A2:B9"/>
    </sheetView>
  </sheetViews>
  <sheetFormatPr baseColWidth="10" defaultRowHeight="16" x14ac:dyDescent="0.2"/>
  <cols>
    <col min="1" max="1" width="21.6640625" customWidth="1"/>
  </cols>
  <sheetData>
    <row r="1" spans="1:4" x14ac:dyDescent="0.2">
      <c r="A1" t="s">
        <v>1</v>
      </c>
      <c r="B1" t="s">
        <v>0</v>
      </c>
      <c r="C1" t="s">
        <v>2</v>
      </c>
      <c r="D1" t="s">
        <v>3</v>
      </c>
    </row>
    <row r="2" spans="1:4" x14ac:dyDescent="0.2">
      <c r="A2">
        <f>POWER(10,1)</f>
        <v>10</v>
      </c>
      <c r="B2">
        <f>LOG($A2,2)</f>
        <v>3.3219280948873626</v>
      </c>
      <c r="C2">
        <f>POWER(10,-3)*$D2</f>
        <v>3.2680000000000002</v>
      </c>
      <c r="D2" s="2">
        <v>3268</v>
      </c>
    </row>
    <row r="3" spans="1:4" x14ac:dyDescent="0.2">
      <c r="A3">
        <f>POWER(10,2)</f>
        <v>100</v>
      </c>
      <c r="B3">
        <f t="shared" ref="B3:B9" si="0">LOG($A3,2)</f>
        <v>6.6438561897747253</v>
      </c>
      <c r="C3" s="1">
        <f>POWER(10,-3)*$D3</f>
        <v>7.33</v>
      </c>
      <c r="D3" s="2">
        <v>7330</v>
      </c>
    </row>
    <row r="4" spans="1:4" x14ac:dyDescent="0.2">
      <c r="A4">
        <f>POWER(10,3)</f>
        <v>1000</v>
      </c>
      <c r="B4">
        <f t="shared" si="0"/>
        <v>9.965784284662087</v>
      </c>
      <c r="C4" s="1">
        <f t="shared" ref="C4:C9" si="1">POWER(10,-3)*$D4</f>
        <v>8.1219999999999999</v>
      </c>
      <c r="D4" s="2">
        <v>8122</v>
      </c>
    </row>
    <row r="5" spans="1:4" x14ac:dyDescent="0.2">
      <c r="A5">
        <f>POWER(10,4)</f>
        <v>10000</v>
      </c>
      <c r="B5">
        <f t="shared" si="0"/>
        <v>13.287712379549451</v>
      </c>
      <c r="C5" s="1">
        <f t="shared" si="1"/>
        <v>9.4510000000000005</v>
      </c>
      <c r="D5" s="2">
        <v>9451</v>
      </c>
    </row>
    <row r="6" spans="1:4" x14ac:dyDescent="0.2">
      <c r="A6">
        <f>POWER(10,5)</f>
        <v>100000</v>
      </c>
      <c r="B6">
        <f t="shared" si="0"/>
        <v>16.609640474436812</v>
      </c>
      <c r="C6" s="1">
        <f t="shared" si="1"/>
        <v>14.362</v>
      </c>
      <c r="D6" s="2">
        <v>14362</v>
      </c>
    </row>
    <row r="7" spans="1:4" x14ac:dyDescent="0.2">
      <c r="A7">
        <f>POWER(10,6)</f>
        <v>1000000</v>
      </c>
      <c r="B7">
        <f t="shared" si="0"/>
        <v>19.931568569324174</v>
      </c>
      <c r="C7" s="1">
        <f t="shared" si="1"/>
        <v>19.54</v>
      </c>
      <c r="D7" s="2">
        <v>19540</v>
      </c>
    </row>
    <row r="8" spans="1:4" x14ac:dyDescent="0.2">
      <c r="A8">
        <f>POWER(10,7)</f>
        <v>10000000</v>
      </c>
      <c r="B8">
        <f t="shared" si="0"/>
        <v>23.253496664211539</v>
      </c>
      <c r="C8" s="1">
        <f t="shared" si="1"/>
        <v>25.618000000000002</v>
      </c>
      <c r="D8" s="2">
        <v>25618</v>
      </c>
    </row>
    <row r="9" spans="1:4" x14ac:dyDescent="0.2">
      <c r="A9">
        <f>POWER(10,8)</f>
        <v>100000000</v>
      </c>
      <c r="B9">
        <f t="shared" si="0"/>
        <v>26.575424759098901</v>
      </c>
      <c r="C9" s="1">
        <f t="shared" si="1"/>
        <v>36.892000000000003</v>
      </c>
      <c r="D9" s="2">
        <v>36892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Sz</dc:creator>
  <cp:lastModifiedBy>Lu Sz</cp:lastModifiedBy>
  <dcterms:created xsi:type="dcterms:W3CDTF">2019-10-26T19:06:46Z</dcterms:created>
  <dcterms:modified xsi:type="dcterms:W3CDTF">2019-10-26T22:00:27Z</dcterms:modified>
</cp:coreProperties>
</file>